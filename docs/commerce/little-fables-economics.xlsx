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Ti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<sst xmlns="http://schemas.openxmlformats.org/spreadsheetml/2006/main" count="100" uniqueCount="97">
  <si>
    <t xml:space="preserve">Little Fables — Unit Economics  v2</t>
  </si>
  <si>
    <t xml:space="preserve">Blue = edit. Yellow = confirm. Black = calculated.</t>
  </si>
  <si>
    <t xml:space="preserve">ASSUMPTIONS</t>
  </si>
  <si>
    <t xml:space="preserve">Etsy transaction fee</t>
  </si>
  <si>
    <t xml:space="preserve">Etsy processing %</t>
  </si>
  <si>
    <t xml:space="preserve">Etsy processing flat</t>
  </si>
  <si>
    <t xml:space="preserve">Listing fee</t>
  </si>
  <si>
    <t xml:space="preserve">Offsite Ads fee</t>
  </si>
  <si>
    <t xml:space="preserve">15% if opted in — opt OUT under $10k</t>
  </si>
  <si>
    <t xml:space="preserve">Narration per book</t>
  </si>
  <si>
    <t xml:space="preserve">$0 — the Pro subscription IS the narration cost. Was double-counted.</t>
  </si>
  <si>
    <t xml:space="preserve">Image generation per book</t>
  </si>
  <si>
    <t xml:space="preserve">$0 marginal — ChatGPT Pro is fixed</t>
  </si>
  <si>
    <t xml:space="preserve">Post-delivery refund rate</t>
  </si>
  <si>
    <t xml:space="preserve">Full book made, then refunded</t>
  </si>
  <si>
    <t xml:space="preserve">Pre-approval abandon rate</t>
  </si>
  <si>
    <t xml:space="preserve">Bails at previews — TIME cost, not money</t>
  </si>
  <si>
    <t xml:space="preserve">Preview cycle time (min)</t>
  </si>
  <si>
    <t xml:space="preserve">Wasted when a buyer abandons</t>
  </si>
  <si>
    <t xml:space="preserve">Your hourly rate</t>
  </si>
  <si>
    <t xml:space="preserve">Attended hours per completed book</t>
  </si>
  <si>
    <t xml:space="preserve">From Time tab</t>
  </si>
  <si>
    <t xml:space="preserve">Effective attended hrs incl. abandoned previews</t>
  </si>
  <si>
    <t xml:space="preserve">Every abandoned preview is paid for by a completed order</t>
  </si>
  <si>
    <t xml:space="preserve">FIXED MONTHLY — avoidable, not gross</t>
  </si>
  <si>
    <t xml:space="preserve">Gross</t>
  </si>
  <si>
    <t xml:space="preserve">Avoidable $</t>
  </si>
  <si>
    <t xml:space="preserve">% of gross</t>
  </si>
  <si>
    <t xml:space="preserve">Supabase</t>
  </si>
  <si>
    <t xml:space="preserve">$68 paid regardless</t>
  </si>
  <si>
    <t xml:space="preserve">Vercel</t>
  </si>
  <si>
    <t xml:space="preserve">Covers all your projects — LF wouldn't stop it</t>
  </si>
  <si>
    <t xml:space="preserve">ElevenLabs Pro</t>
  </si>
  <si>
    <t xml:space="preserve">Covers ~19 books/mo. THE fixed cost now.</t>
  </si>
  <si>
    <t xml:space="preserve">ChatGPT Pro</t>
  </si>
  <si>
    <t xml:space="preserve">Kept regardless</t>
  </si>
  <si>
    <t xml:space="preserve">Claude</t>
  </si>
  <si>
    <t xml:space="preserve">Intake form (self-hosted)</t>
  </si>
  <si>
    <t xml:space="preserve">Was Typeform Pro $50 — now self-hosted, gone</t>
  </si>
  <si>
    <t xml:space="preserve">Domains (.ai + .app)</t>
  </si>
  <si>
    <t xml:space="preserve">AVOIDABLE fixed / month</t>
  </si>
  <si>
    <t xml:space="preserve">Column C is the go/no-go number. Gross is context only.</t>
  </si>
  <si>
    <t xml:space="preserve">PER-ORDER BY PRICE</t>
  </si>
  <si>
    <t xml:space="preserve">List price</t>
  </si>
  <si>
    <t xml:space="preserve">Creator 100k $22 · Pro 500k $99 · Scale 2M $330</t>
  </si>
  <si>
    <t xml:space="preserve">Etsy fees</t>
  </si>
  <si>
    <t xml:space="preserve">Narration</t>
  </si>
  <si>
    <t xml:space="preserve">Image generation</t>
  </si>
  <si>
    <t xml:space="preserve">Post-delivery refund reserve</t>
  </si>
  <si>
    <t xml:space="preserve">CONTRIBUTION before labour</t>
  </si>
  <si>
    <t xml:space="preserve">Labour at effective hours</t>
  </si>
  <si>
    <t xml:space="preserve">CONTRIBUTION after labour</t>
  </si>
  <si>
    <t xml:space="preserve">Break-even effective hours</t>
  </si>
  <si>
    <t xml:space="preserve">Hours at which you work for free</t>
  </si>
  <si>
    <t xml:space="preserve">Orders/mo to cover fixed — costed</t>
  </si>
  <si>
    <t xml:space="preserve">Orders/mo to cover fixed — founder</t>
  </si>
  <si>
    <t xml:space="preserve">Labour valued at zero</t>
  </si>
  <si>
    <t xml:space="preserve">Effective $/hour</t>
  </si>
  <si>
    <t xml:space="preserve">What you actually earn</t>
  </si>
  <si>
    <t xml:space="preserve">Max CPC at 1.5% conversion</t>
  </si>
  <si>
    <t xml:space="preserve">Ads need this above ~$0.30</t>
  </si>
  <si>
    <t xml:space="preserve">OVERAGE — charge for MORE, never for BETTER</t>
  </si>
  <si>
    <t xml:space="preserve">Extra character beyond 2</t>
  </si>
  <si>
    <t xml:space="preserve">More product. Charge.</t>
  </si>
  <si>
    <t xml:space="preserve">Extended length (9+ age band)</t>
  </si>
  <si>
    <t xml:space="preserve">Narration cost scales with words — see note</t>
  </si>
  <si>
    <t xml:space="preserve">ELEVENLABS TIER CAPACITY</t>
  </si>
  <si>
    <t xml:space="preserve">Research says $20-25, you have $12</t>
  </si>
  <si>
    <t xml:space="preserve">Chars per book (recent-era actual)</t>
  </si>
  <si>
    <t xml:space="preserve">Narration + iteration + word-tap audio</t>
  </si>
  <si>
    <t xml:space="preserve">Tier capacity (chars/mo)</t>
  </si>
  <si>
    <t xml:space="preserve">Books/month before the tier steps</t>
  </si>
  <si>
    <t xml:space="preserve">Order #20 in a month costs $231 more than order #19</t>
  </si>
  <si>
    <t xml:space="preserve">Attended time per completed order</t>
  </si>
  <si>
    <t xml:space="preserve">Stage</t>
  </si>
  <si>
    <t xml:space="preserve">Low min</t>
  </si>
  <si>
    <t xml:space="preserve">High min</t>
  </si>
  <si>
    <t xml:space="preserve">Attended</t>
  </si>
  <si>
    <t xml:space="preserve">Note</t>
  </si>
  <si>
    <t xml:space="preserve">Concepting pass</t>
  </si>
  <si>
    <t xml:space="preserve">story-concepting.md — 6 steps</t>
  </si>
  <si>
    <t xml:space="preserve">Draft: voice + Azi-verse project</t>
  </si>
  <si>
    <t xml:space="preserve">Fast per Manav</t>
  </si>
  <si>
    <t xml:space="preserve">Editorial pass + fable to JSON</t>
  </si>
  <si>
    <t xml:space="preserve">Style previews</t>
  </si>
  <si>
    <t xml:space="preserve">Before the book exists</t>
  </si>
  <si>
    <t xml:space="preserve">Preview revisions</t>
  </si>
  <si>
    <t xml:space="preserve">The expensive kind</t>
  </si>
  <si>
    <t xml:space="preserve">Page art + consistency</t>
  </si>
  <si>
    <t xml:space="preserve">Lock character sheet first</t>
  </si>
  <si>
    <t xml:space="preserve">QA / smoke test</t>
  </si>
  <si>
    <t xml:space="preserve">Narration (ElevenLabs)</t>
  </si>
  <si>
    <t xml:space="preserve">Unattended</t>
  </si>
  <si>
    <t xml:space="preserve">Upload + DB</t>
  </si>
  <si>
    <t xml:space="preserve">Attended minutes</t>
  </si>
  <si>
    <t xml:space="preserve">Attended hours</t>
  </si>
  <si>
    <t xml:space="preserve">Midpoint → Model!B16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</si>
</sst>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"/>
    <numFmt numFmtId="166" formatCode="\$#,##0.00;&quot;($&quot;#,##0.00\);\-"/>
    <numFmt numFmtId="167" formatCode="0"/>
    <numFmt numFmtId="168" formatCode="0.00"/>
    <numFmt numFmtId="169" formatCode="\$#,##0;&quot;($&quot;#,##0\);\-"/>
    <numFmt numFmtId="170" formatCode="0%"/>
    <numFmt numFmtId="171" formatCode="#,##0"/>
    <numFmt numFmtId="172" formatCode="\$#,##0;&quot;($&quot;#,##0\);\-"/>
    <numFmt numFmtId="173" formatCode="\$#,##0.00;&quot;($&quot;#,##0.00\);\-"/>
    <numFmt numFmtId="174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D2E2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1D12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2A1D12"/>
      <rgbColor rgb="FF7D2E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2"/>
    <col collapsed="false" customWidth="true" hidden="false" outlineLevel="0" max="8" min="8" style="1" width="5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H4" s="5"/>
    </row>
    <row r="5" customFormat="false" ht="15" hidden="false" customHeight="true" outlineLevel="0" collapsed="false">
      <c r="A5" s="6" t="s">
        <v>3</v>
      </c>
      <c r="B5" s="7" t="n">
        <v>0.065</v>
      </c>
    </row>
    <row r="6" customFormat="false" ht="15" hidden="false" customHeight="true" outlineLevel="0" collapsed="false">
      <c r="A6" s="6" t="s">
        <v>4</v>
      </c>
      <c r="B6" s="7" t="n">
        <v>0.03</v>
      </c>
    </row>
    <row r="7" customFormat="false" ht="15" hidden="false" customHeight="true" outlineLevel="0" collapsed="false">
      <c r="A7" s="6" t="s">
        <v>5</v>
      </c>
      <c r="B7" s="8" t="n">
        <v>0.25</v>
      </c>
    </row>
    <row r="8" customFormat="false" ht="15" hidden="false" customHeight="true" outlineLevel="0" collapsed="false">
      <c r="A8" s="6" t="s">
        <v>6</v>
      </c>
      <c r="B8" s="8" t="n">
        <v>0.2</v>
      </c>
    </row>
    <row r="9" customFormat="false" ht="15" hidden="false" customHeight="true" outlineLevel="0" collapsed="false">
      <c r="A9" s="6" t="s">
        <v>7</v>
      </c>
      <c r="B9" s="7" t="n">
        <v>0</v>
      </c>
      <c r="H9" s="3" t="s">
        <v>8</v>
      </c>
    </row>
    <row r="10" customFormat="false" ht="15" hidden="false" customHeight="true" outlineLevel="0" collapsed="false">
      <c r="A10" s="6" t="s">
        <v>9</v>
      </c>
      <c r="B10" s="9" t="n">
        <v>0</v>
      </c>
      <c r="H10" s="3" t="s">
        <v>10</v>
      </c>
    </row>
    <row r="11" customFormat="false" ht="15" hidden="false" customHeight="true" outlineLevel="0" collapsed="false">
      <c r="A11" s="6" t="s">
        <v>11</v>
      </c>
      <c r="B11" s="8" t="n">
        <v>0</v>
      </c>
      <c r="H11" s="3" t="s">
        <v>12</v>
      </c>
    </row>
    <row r="12" customFormat="false" ht="15" hidden="false" customHeight="true" outlineLevel="0" collapsed="false">
      <c r="A12" s="6" t="s">
        <v>13</v>
      </c>
      <c r="B12" s="7" t="n">
        <v>0.03</v>
      </c>
      <c r="H12" s="3" t="s">
        <v>14</v>
      </c>
    </row>
    <row r="13" customFormat="false" ht="15" hidden="false" customHeight="true" outlineLevel="0" collapsed="false">
      <c r="A13" s="6" t="s">
        <v>15</v>
      </c>
      <c r="B13" s="7" t="n">
        <v>0.15</v>
      </c>
      <c r="H13" s="3" t="s">
        <v>16</v>
      </c>
    </row>
    <row r="14" customFormat="false" ht="15" hidden="false" customHeight="true" outlineLevel="0" collapsed="false">
      <c r="A14" s="6" t="s">
        <v>17</v>
      </c>
      <c r="B14" s="10" t="n">
        <v>30</v>
      </c>
      <c r="H14" s="3" t="s">
        <v>18</v>
      </c>
    </row>
    <row r="15" customFormat="false" ht="15" hidden="false" customHeight="true" outlineLevel="0" collapsed="false">
      <c r="A15" s="6" t="s">
        <v>19</v>
      </c>
      <c r="B15" s="8" t="n">
        <v>25</v>
      </c>
    </row>
    <row r="16" customFormat="false" ht="15" hidden="false" customHeight="true" outlineLevel="0" collapsed="false">
      <c r="A16" s="6" t="s">
        <v>20</v>
      </c>
      <c r="B16" s="11" t="n">
        <v>2.3</v>
      </c>
      <c r="H16" s="3" t="s">
        <v>21</v>
      </c>
    </row>
    <row r="18" customFormat="false" ht="15" hidden="false" customHeight="true" outlineLevel="0" collapsed="false">
      <c r="A18" s="12" t="s">
        <v>22</v>
      </c>
      <c r="B18" s="13" t="n">
        <f aca="false">$B$16+($B$13/(1-$B$13))*$B$14/60</f>
        <v>2.38823529411765</v>
      </c>
      <c r="H18" s="3" t="s">
        <v>23</v>
      </c>
    </row>
    <row r="20" customFormat="false" ht="15" hidden="false" customHeight="true" outlineLevel="0" collapsed="false">
      <c r="A20" s="4" t="s">
        <v>24</v>
      </c>
      <c r="B20" s="4" t="s">
        <v>25</v>
      </c>
      <c r="C20" s="4" t="s">
        <v>26</v>
      </c>
      <c r="D20" s="4" t="s">
        <v>27</v>
      </c>
      <c r="H20" s="5"/>
    </row>
    <row r="21" customFormat="false" ht="15" hidden="false" customHeight="true" outlineLevel="0" collapsed="false">
      <c r="A21" s="6" t="s">
        <v>28</v>
      </c>
      <c r="B21" s="14" t="n">
        <v>75</v>
      </c>
      <c r="C21" s="14" t="n">
        <v>7</v>
      </c>
      <c r="D21" s="15" t="n">
        <f aca="false">IF(B21=0,0,C21/B21)</f>
        <v>0.0933333333333333</v>
      </c>
      <c r="H21" s="3" t="s">
        <v>29</v>
      </c>
    </row>
    <row r="22" customFormat="false" ht="15" hidden="false" customHeight="true" outlineLevel="0" collapsed="false">
      <c r="A22" s="6" t="s">
        <v>30</v>
      </c>
      <c r="B22" s="14" t="n">
        <v>20</v>
      </c>
      <c r="C22" s="14" t="n">
        <v>0</v>
      </c>
      <c r="D22" s="15" t="n">
        <f aca="false">IF(B22=0,0,C22/B22)</f>
        <v>0</v>
      </c>
      <c r="H22" s="3" t="s">
        <v>31</v>
      </c>
    </row>
    <row r="23" customFormat="false" ht="15" hidden="false" customHeight="true" outlineLevel="0" collapsed="false">
      <c r="A23" s="6" t="s">
        <v>32</v>
      </c>
      <c r="B23" s="14" t="n">
        <v>99</v>
      </c>
      <c r="C23" s="14" t="n">
        <v>99</v>
      </c>
      <c r="D23" s="15" t="n">
        <f aca="false">IF(B23=0,0,C23/B23)</f>
        <v>1</v>
      </c>
      <c r="H23" s="3" t="s">
        <v>33</v>
      </c>
    </row>
    <row r="24" customFormat="false" ht="15" hidden="false" customHeight="true" outlineLevel="0" collapsed="false">
      <c r="A24" s="6" t="s">
        <v>34</v>
      </c>
      <c r="B24" s="14" t="n">
        <v>200</v>
      </c>
      <c r="C24" s="16" t="n">
        <v>0</v>
      </c>
      <c r="D24" s="15" t="n">
        <f aca="false">IF(B24=0,0,C24/B24)</f>
        <v>0</v>
      </c>
      <c r="H24" s="3" t="s">
        <v>35</v>
      </c>
    </row>
    <row r="25" customFormat="false" ht="15" hidden="false" customHeight="true" outlineLevel="0" collapsed="false">
      <c r="A25" s="6" t="s">
        <v>36</v>
      </c>
      <c r="B25" s="14" t="n">
        <v>0</v>
      </c>
      <c r="C25" s="16" t="n">
        <v>0</v>
      </c>
      <c r="D25" s="15" t="n">
        <f aca="false">IF(B25=0,0,C25/B25)</f>
        <v>0</v>
      </c>
      <c r="H25" s="3" t="s">
        <v>35</v>
      </c>
    </row>
    <row r="26" customFormat="false" ht="15" hidden="false" customHeight="true" outlineLevel="0" collapsed="false">
      <c r="A26" s="6" t="s">
        <v>37</v>
      </c>
      <c r="B26" s="14" t="n">
        <v>0</v>
      </c>
      <c r="C26" s="14" t="n">
        <v>0</v>
      </c>
      <c r="D26" s="15" t="n">
        <f aca="false">IF(B26=0,0,C26/B26)</f>
        <v>0</v>
      </c>
      <c r="H26" s="3" t="s">
        <v>38</v>
      </c>
    </row>
    <row r="27" customFormat="false" ht="15" hidden="false" customHeight="true" outlineLevel="0" collapsed="false">
      <c r="A27" s="6" t="s">
        <v>39</v>
      </c>
      <c r="B27" s="14" t="n">
        <v>10</v>
      </c>
      <c r="C27" s="14" t="n">
        <v>10</v>
      </c>
      <c r="D27" s="15" t="n">
        <f aca="false">IF(B27=0,0,C27/B27)</f>
        <v>1</v>
      </c>
      <c r="H27" s="3"/>
    </row>
    <row r="28" customFormat="false" ht="15" hidden="false" customHeight="true" outlineLevel="0" collapsed="false">
      <c r="A28" s="12" t="s">
        <v>40</v>
      </c>
      <c r="B28" s="17" t="n">
        <f aca="false">SUM(B21:B27)</f>
        <v>404</v>
      </c>
      <c r="C28" s="18" t="n">
        <f aca="false">SUM(C21:C27)</f>
        <v>116</v>
      </c>
      <c r="D28" s="15" t="n">
        <f aca="false">C28/B28</f>
        <v>0.287128712871287</v>
      </c>
      <c r="H28" s="3" t="s">
        <v>41</v>
      </c>
    </row>
    <row r="29" customFormat="false" ht="15" hidden="false" customHeight="true" outlineLevel="0" collapsed="false">
      <c r="A29" s="4" t="s">
        <v>42</v>
      </c>
      <c r="B29" s="19"/>
      <c r="C29" s="5"/>
      <c r="D29" s="5"/>
      <c r="E29" s="5"/>
      <c r="F29" s="5"/>
      <c r="G29" s="5"/>
      <c r="H29" s="20"/>
    </row>
    <row r="30" customFormat="false" ht="15" hidden="false" customHeight="true" outlineLevel="0" collapsed="false">
      <c r="A30" s="12" t="s">
        <v>43</v>
      </c>
      <c r="B30" s="21" t="n">
        <v>44</v>
      </c>
      <c r="C30" s="21" t="n">
        <v>49</v>
      </c>
      <c r="D30" s="21" t="n">
        <v>59</v>
      </c>
      <c r="E30" s="21" t="n">
        <v>69</v>
      </c>
      <c r="F30" s="21" t="n">
        <v>79</v>
      </c>
      <c r="H30" s="3" t="s">
        <v>44</v>
      </c>
    </row>
    <row r="31" customFormat="false" ht="15" hidden="false" customHeight="true" outlineLevel="0" collapsed="false">
      <c r="A31" s="6" t="s">
        <v>45</v>
      </c>
      <c r="B31" s="22" t="n">
        <f aca="false">-(B30*($B$5+$B$6+$B$9)+$B$7+$B$8)</f>
        <v>-4.63</v>
      </c>
      <c r="C31" s="22" t="n">
        <f aca="false">-(C30*($B$5+$B$6+$B$9)+$B$7+$B$8)</f>
        <v>-5.105</v>
      </c>
      <c r="D31" s="22" t="n">
        <f aca="false">-(D30*($B$5+$B$6+$B$9)+$B$7+$B$8)</f>
        <v>-6.055</v>
      </c>
      <c r="E31" s="22" t="n">
        <f aca="false">-(E30*($B$5+$B$6+$B$9)+$B$7+$B$8)</f>
        <v>-7.005</v>
      </c>
      <c r="F31" s="22" t="n">
        <f aca="false">-(F30*($B$5+$B$6+$B$9)+$B$7+$B$8)</f>
        <v>-7.955</v>
      </c>
      <c r="H31" s="23"/>
    </row>
    <row r="32" customFormat="false" ht="15" hidden="false" customHeight="true" outlineLevel="0" collapsed="false">
      <c r="A32" s="6" t="s">
        <v>46</v>
      </c>
      <c r="B32" s="24" t="n">
        <f aca="false">-$B$10</f>
        <v>-0</v>
      </c>
      <c r="C32" s="24" t="n">
        <f aca="false">-$B$10</f>
        <v>-0</v>
      </c>
      <c r="D32" s="24" t="n">
        <f aca="false">-$B$10</f>
        <v>-0</v>
      </c>
      <c r="E32" s="24" t="n">
        <f aca="false">-$B$10</f>
        <v>-0</v>
      </c>
      <c r="F32" s="24" t="n">
        <f aca="false">-$B$10</f>
        <v>-0</v>
      </c>
    </row>
    <row r="33" customFormat="false" ht="15" hidden="false" customHeight="true" outlineLevel="0" collapsed="false">
      <c r="A33" s="6" t="s">
        <v>47</v>
      </c>
      <c r="B33" s="24" t="n">
        <f aca="false">-$B$11</f>
        <v>-0</v>
      </c>
      <c r="C33" s="24" t="n">
        <f aca="false">-$B$11</f>
        <v>-0</v>
      </c>
      <c r="D33" s="24" t="n">
        <f aca="false">-$B$11</f>
        <v>-0</v>
      </c>
      <c r="E33" s="24" t="n">
        <f aca="false">-$B$11</f>
        <v>-0</v>
      </c>
      <c r="F33" s="24" t="n">
        <f aca="false">-$B$11</f>
        <v>-0</v>
      </c>
    </row>
    <row r="34" customFormat="false" ht="15" hidden="false" customHeight="true" outlineLevel="0" collapsed="false">
      <c r="A34" s="6" t="s">
        <v>48</v>
      </c>
      <c r="B34" s="24" t="n">
        <f aca="false">-B30*$B$12</f>
        <v>-1.32</v>
      </c>
      <c r="C34" s="24" t="n">
        <f aca="false">-C30*$B$12</f>
        <v>-1.47</v>
      </c>
      <c r="D34" s="24" t="n">
        <f aca="false">-D30*$B$12</f>
        <v>-1.77</v>
      </c>
      <c r="E34" s="24" t="n">
        <f aca="false">-E30*$B$12</f>
        <v>-2.07</v>
      </c>
      <c r="F34" s="24" t="n">
        <f aca="false">-F30*$B$12</f>
        <v>-2.37</v>
      </c>
    </row>
    <row r="35" customFormat="false" ht="15" hidden="false" customHeight="true" outlineLevel="0" collapsed="false">
      <c r="A35" s="12" t="s">
        <v>49</v>
      </c>
      <c r="B35" s="25" t="n">
        <f aca="false">SUM(B30:B34)</f>
        <v>38.05</v>
      </c>
      <c r="C35" s="25" t="n">
        <f aca="false">SUM(C30:C34)</f>
        <v>42.425</v>
      </c>
      <c r="D35" s="25" t="n">
        <f aca="false">SUM(D30:D34)</f>
        <v>51.175</v>
      </c>
      <c r="E35" s="25" t="n">
        <f aca="false">SUM(E30:E34)</f>
        <v>59.925</v>
      </c>
      <c r="F35" s="25" t="n">
        <f aca="false">SUM(F30:F34)</f>
        <v>68.675</v>
      </c>
    </row>
    <row r="36" customFormat="false" ht="15" hidden="false" customHeight="true" outlineLevel="0" collapsed="false">
      <c r="A36" s="6" t="s">
        <v>50</v>
      </c>
      <c r="B36" s="24" t="n">
        <f aca="false">-$B$15*$B$18</f>
        <v>-59.7058823529412</v>
      </c>
      <c r="C36" s="24" t="n">
        <f aca="false">-$B$15*$B$18</f>
        <v>-59.7058823529412</v>
      </c>
      <c r="D36" s="24" t="n">
        <f aca="false">-$B$15*$B$18</f>
        <v>-59.7058823529412</v>
      </c>
      <c r="E36" s="24" t="n">
        <f aca="false">-$B$15*$B$18</f>
        <v>-59.7058823529412</v>
      </c>
      <c r="F36" s="24" t="n">
        <f aca="false">-$B$15*$B$18</f>
        <v>-59.7058823529412</v>
      </c>
    </row>
    <row r="37" customFormat="false" ht="15" hidden="false" customHeight="true" outlineLevel="0" collapsed="false">
      <c r="A37" s="12" t="s">
        <v>51</v>
      </c>
      <c r="B37" s="25" t="n">
        <f aca="false">B35+B36</f>
        <v>-21.6558823529412</v>
      </c>
      <c r="C37" s="25" t="n">
        <f aca="false">C35+C36</f>
        <v>-17.2808823529412</v>
      </c>
      <c r="D37" s="25" t="n">
        <f aca="false">D35+D36</f>
        <v>-8.53088235294118</v>
      </c>
      <c r="E37" s="25" t="n">
        <f aca="false">E35+E36</f>
        <v>0.219117647058823</v>
      </c>
      <c r="F37" s="25" t="n">
        <f aca="false">F35+F36</f>
        <v>8.96911764705882</v>
      </c>
    </row>
    <row r="39" customFormat="false" ht="15" hidden="false" customHeight="true" outlineLevel="0" collapsed="false">
      <c r="A39" s="12" t="s">
        <v>52</v>
      </c>
      <c r="B39" s="26" t="n">
        <f aca="false">B35/$B$15</f>
        <v>1.522</v>
      </c>
      <c r="C39" s="26" t="n">
        <f aca="false">C35/$B$15</f>
        <v>1.697</v>
      </c>
      <c r="D39" s="26" t="n">
        <f aca="false">D35/$B$15</f>
        <v>2.047</v>
      </c>
      <c r="E39" s="26" t="n">
        <f aca="false">E35/$B$15</f>
        <v>2.397</v>
      </c>
      <c r="F39" s="26" t="n">
        <f aca="false">F35/$B$15</f>
        <v>2.747</v>
      </c>
      <c r="H39" s="3" t="s">
        <v>53</v>
      </c>
    </row>
    <row r="40" customFormat="false" ht="15" hidden="false" customHeight="true" outlineLevel="0" collapsed="false">
      <c r="A40" s="12" t="s">
        <v>54</v>
      </c>
      <c r="B40" s="27" t="str">
        <f aca="false">IF(B37&lt;=0,"never",$C$28/B37)</f>
        <v>never</v>
      </c>
      <c r="C40" s="27" t="str">
        <f aca="false">IF(C37&lt;=0,"never",$C$28/C37)</f>
        <v>never</v>
      </c>
      <c r="D40" s="27" t="str">
        <f aca="false">IF(D37&lt;=0,"never",$C$28/D37)</f>
        <v>never</v>
      </c>
      <c r="E40" s="27" t="n">
        <f aca="false">IF(E37&lt;=0,"never",$C$28/E37)</f>
        <v>529.395973154363</v>
      </c>
      <c r="F40" s="27" t="n">
        <f aca="false">IF(F37&lt;=0,"never",$C$28/F37)</f>
        <v>12.9332677488113</v>
      </c>
    </row>
    <row r="41" customFormat="false" ht="15" hidden="false" customHeight="true" outlineLevel="0" collapsed="false">
      <c r="A41" s="12" t="s">
        <v>55</v>
      </c>
      <c r="B41" s="27" t="n">
        <f aca="false">$C$28/B35</f>
        <v>3.04862023653088</v>
      </c>
      <c r="C41" s="27" t="n">
        <f aca="false">$C$28/C35</f>
        <v>2.73423688862699</v>
      </c>
      <c r="D41" s="27" t="n">
        <f aca="false">$C$28/D35</f>
        <v>2.26673180263801</v>
      </c>
      <c r="E41" s="27" t="n">
        <f aca="false">$C$28/E35</f>
        <v>1.9357530246141</v>
      </c>
      <c r="F41" s="27" t="n">
        <f aca="false">$C$28/F35</f>
        <v>1.68911539861667</v>
      </c>
      <c r="H41" s="3" t="s">
        <v>56</v>
      </c>
    </row>
    <row r="42" customFormat="false" ht="15" hidden="false" customHeight="true" outlineLevel="0" collapsed="false">
      <c r="A42" s="12" t="s">
        <v>57</v>
      </c>
      <c r="B42" s="24" t="n">
        <f aca="false">B35/$B$18</f>
        <v>15.9322660098522</v>
      </c>
      <c r="C42" s="24" t="n">
        <f aca="false">C35/$B$18</f>
        <v>17.7641625615764</v>
      </c>
      <c r="D42" s="24" t="n">
        <f aca="false">D35/$B$18</f>
        <v>21.4279556650246</v>
      </c>
      <c r="E42" s="24" t="n">
        <f aca="false">E35/$B$18</f>
        <v>25.0917487684729</v>
      </c>
      <c r="F42" s="24" t="n">
        <f aca="false">F35/$B$18</f>
        <v>28.7555418719212</v>
      </c>
      <c r="H42" s="3" t="s">
        <v>58</v>
      </c>
    </row>
    <row r="43" customFormat="false" ht="15" hidden="false" customHeight="true" outlineLevel="0" collapsed="false">
      <c r="A43" s="12" t="s">
        <v>59</v>
      </c>
      <c r="B43" s="24" t="n">
        <f aca="false">MAX(0,B37)*0.015</f>
        <v>0</v>
      </c>
      <c r="C43" s="24" t="n">
        <f aca="false">MAX(0,C37)*0.015</f>
        <v>0</v>
      </c>
      <c r="D43" s="24" t="n">
        <f aca="false">MAX(0,D37)*0.015</f>
        <v>0</v>
      </c>
      <c r="E43" s="24" t="n">
        <f aca="false">MAX(0,E37)*0.015</f>
        <v>0.00328676470588235</v>
      </c>
      <c r="F43" s="24" t="n">
        <f aca="false">MAX(0,F37)*0.015</f>
        <v>0.134536764705882</v>
      </c>
      <c r="H43" s="3" t="s">
        <v>60</v>
      </c>
    </row>
    <row r="45" customFormat="false" ht="15" hidden="false" customHeight="true" outlineLevel="0" collapsed="false">
      <c r="A45" s="4" t="s">
        <v>61</v>
      </c>
      <c r="B45" s="5"/>
      <c r="C45" s="5"/>
      <c r="H45" s="5"/>
    </row>
    <row r="46" customFormat="false" ht="15" hidden="false" customHeight="true" outlineLevel="0" collapsed="false">
      <c r="A46" s="6" t="s">
        <v>62</v>
      </c>
      <c r="B46" s="14" t="n">
        <v>15</v>
      </c>
      <c r="H46" s="3" t="s">
        <v>63</v>
      </c>
    </row>
    <row r="47" customFormat="false" ht="15" hidden="false" customHeight="true" outlineLevel="0" collapsed="false">
      <c r="A47" s="6" t="s">
        <v>64</v>
      </c>
      <c r="B47" s="14" t="n">
        <v>15</v>
      </c>
      <c r="H47" s="3" t="s">
        <v>65</v>
      </c>
    </row>
    <row r="48" customFormat="false" ht="15" hidden="false" customHeight="true" outlineLevel="0" collapsed="false">
      <c r="A48" s="4" t="s">
        <v>66</v>
      </c>
      <c r="B48" s="28" t="n">
        <v>20</v>
      </c>
      <c r="H48" s="20" t="s">
        <v>67</v>
      </c>
    </row>
    <row r="49" customFormat="false" ht="15" hidden="false" customHeight="true" outlineLevel="0" collapsed="false">
      <c r="A49" s="6" t="s">
        <v>68</v>
      </c>
      <c r="B49" s="29" t="n">
        <v>25704</v>
      </c>
      <c r="H49" s="30" t="s">
        <v>69</v>
      </c>
    </row>
    <row r="50" customFormat="false" ht="15" hidden="false" customHeight="true" outlineLevel="0" collapsed="false">
      <c r="A50" s="6" t="s">
        <v>70</v>
      </c>
      <c r="B50" s="29" t="n">
        <v>500000</v>
      </c>
      <c r="H50" s="3" t="s">
        <v>44</v>
      </c>
    </row>
    <row r="51" customFormat="false" ht="15" hidden="false" customHeight="true" outlineLevel="0" collapsed="false">
      <c r="A51" s="12" t="s">
        <v>71</v>
      </c>
      <c r="B51" s="31" t="n">
        <f aca="false">B50/B49</f>
        <v>19.4522253345783</v>
      </c>
      <c r="H51" s="2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2"/>
    <col collapsed="false" customWidth="true" hidden="false" outlineLevel="0" max="5" min="5" style="1" width="52"/>
  </cols>
  <sheetData>
    <row r="1" customFormat="false" ht="15.75" hidden="false" customHeight="true" outlineLevel="0" collapsed="false">
      <c r="A1" s="2" t="s">
        <v>73</v>
      </c>
    </row>
    <row r="3" customFormat="false" ht="15" hidden="false" customHeight="true" outlineLevel="0" collapsed="false">
      <c r="A3" s="4" t="s">
        <v>74</v>
      </c>
      <c r="B3" s="4" t="s">
        <v>75</v>
      </c>
      <c r="C3" s="4" t="s">
        <v>76</v>
      </c>
      <c r="D3" s="4" t="s">
        <v>77</v>
      </c>
      <c r="E3" s="4" t="s">
        <v>78</v>
      </c>
    </row>
    <row r="4" customFormat="false" ht="15" hidden="false" customHeight="true" outlineLevel="0" collapsed="false">
      <c r="A4" s="6" t="s">
        <v>79</v>
      </c>
      <c r="B4" s="32" t="n">
        <v>5</v>
      </c>
      <c r="C4" s="32" t="n">
        <v>10</v>
      </c>
      <c r="D4" s="32" t="n">
        <v>1</v>
      </c>
      <c r="E4" s="3" t="s">
        <v>80</v>
      </c>
    </row>
    <row r="5" customFormat="false" ht="15" hidden="false" customHeight="true" outlineLevel="0" collapsed="false">
      <c r="A5" s="6" t="s">
        <v>81</v>
      </c>
      <c r="B5" s="32" t="n">
        <v>10</v>
      </c>
      <c r="C5" s="32" t="n">
        <v>20</v>
      </c>
      <c r="D5" s="32" t="n">
        <v>1</v>
      </c>
      <c r="E5" s="3" t="s">
        <v>82</v>
      </c>
    </row>
    <row r="6" customFormat="false" ht="15" hidden="false" customHeight="true" outlineLevel="0" collapsed="false">
      <c r="A6" s="6" t="s">
        <v>83</v>
      </c>
      <c r="B6" s="32" t="n">
        <v>10</v>
      </c>
      <c r="C6" s="32" t="n">
        <v>20</v>
      </c>
      <c r="D6" s="32" t="n">
        <v>1</v>
      </c>
      <c r="E6" s="3"/>
    </row>
    <row r="7" customFormat="false" ht="15" hidden="false" customHeight="true" outlineLevel="0" collapsed="false">
      <c r="A7" s="6" t="s">
        <v>84</v>
      </c>
      <c r="B7" s="32" t="n">
        <v>20</v>
      </c>
      <c r="C7" s="32" t="n">
        <v>30</v>
      </c>
      <c r="D7" s="32" t="n">
        <v>1</v>
      </c>
      <c r="E7" s="3" t="s">
        <v>85</v>
      </c>
    </row>
    <row r="8" customFormat="false" ht="15" hidden="false" customHeight="true" outlineLevel="0" collapsed="false">
      <c r="A8" s="6" t="s">
        <v>86</v>
      </c>
      <c r="B8" s="32" t="n">
        <v>0</v>
      </c>
      <c r="C8" s="32" t="n">
        <v>30</v>
      </c>
      <c r="D8" s="32" t="n">
        <v>1</v>
      </c>
      <c r="E8" s="3" t="s">
        <v>87</v>
      </c>
    </row>
    <row r="9" customFormat="false" ht="15" hidden="false" customHeight="true" outlineLevel="0" collapsed="false">
      <c r="A9" s="6" t="s">
        <v>88</v>
      </c>
      <c r="B9" s="32" t="n">
        <v>30</v>
      </c>
      <c r="C9" s="32" t="n">
        <v>60</v>
      </c>
      <c r="D9" s="32" t="n">
        <v>1</v>
      </c>
      <c r="E9" s="3" t="s">
        <v>89</v>
      </c>
    </row>
    <row r="10" customFormat="false" ht="15" hidden="false" customHeight="true" outlineLevel="0" collapsed="false">
      <c r="A10" s="6" t="s">
        <v>90</v>
      </c>
      <c r="B10" s="32" t="n">
        <v>5</v>
      </c>
      <c r="C10" s="32" t="n">
        <v>10</v>
      </c>
      <c r="D10" s="32" t="n">
        <v>1</v>
      </c>
      <c r="E10" s="3"/>
    </row>
    <row r="11" customFormat="false" ht="15" hidden="false" customHeight="true" outlineLevel="0" collapsed="false">
      <c r="A11" s="6" t="s">
        <v>91</v>
      </c>
      <c r="B11" s="32" t="n">
        <v>10</v>
      </c>
      <c r="C11" s="32" t="n">
        <v>20</v>
      </c>
      <c r="D11" s="32" t="n">
        <v>0</v>
      </c>
      <c r="E11" s="3" t="s">
        <v>92</v>
      </c>
    </row>
    <row r="12" customFormat="false" ht="15" hidden="false" customHeight="true" outlineLevel="0" collapsed="false">
      <c r="A12" s="6" t="s">
        <v>93</v>
      </c>
      <c r="B12" s="32" t="n">
        <v>1</v>
      </c>
      <c r="C12" s="32" t="n">
        <v>1</v>
      </c>
      <c r="D12" s="32" t="n">
        <v>0</v>
      </c>
      <c r="E12" s="3" t="s">
        <v>92</v>
      </c>
    </row>
    <row r="13" customFormat="false" ht="15" hidden="false" customHeight="true" outlineLevel="0" collapsed="false">
      <c r="A13" s="12" t="s">
        <v>94</v>
      </c>
      <c r="B13" s="12" t="n">
        <f aca="false">SUMPRODUCT($D$4:$D$12,B4:B12)</f>
        <v>80</v>
      </c>
      <c r="C13" s="12" t="n">
        <f aca="false">SUMPRODUCT($D$4:$D$12,C4:C12)</f>
        <v>180</v>
      </c>
    </row>
    <row r="14" customFormat="false" ht="15" hidden="false" customHeight="true" outlineLevel="0" collapsed="false">
      <c r="A14" s="12" t="s">
        <v>95</v>
      </c>
      <c r="B14" s="13" t="n">
        <f aca="false">B13/60</f>
        <v>1.33333333333333</v>
      </c>
      <c r="C14" s="13" t="n">
        <f aca="false">C13/60</f>
        <v>3</v>
      </c>
    </row>
    <row r="15" customFormat="false" ht="15" hidden="false" customHeight="true" outlineLevel="0" collapsed="false">
      <c r="A15" s="33" t="s">
        <v>96</v>
      </c>
      <c r="B15" s="34" t="n">
        <f aca="false">AVERAGE(B14:C14)</f>
        <v>2.16666666666667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2026-08-06T14:23:20Z</dcterms:created>
  <dc:creator>openpyxl</dc:creator>
  <dc:description/>
  <dc:language>en-US</dc:language>
  <cp:lastModifiedBy/>
  <dcterms:modified xsi:type="dcterms:W3CDTF">2026-08-06T14:39:36Z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